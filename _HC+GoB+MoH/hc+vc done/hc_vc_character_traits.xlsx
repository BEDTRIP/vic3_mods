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заполнять" sheetId="1" state="visible" r:id="rId3"/>
    <sheet name="Трейт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<sst xmlns="http://schemas.openxmlformats.org/spreadsheetml/2006/main" count="209" uniqueCount="103">
  <si>
    <t xml:space="preserve">Трейты 16 character_templates, общих у Hail, Columbia! / Mandate of Heaven и Victorian Century</t>
  </si>
  <si>
    <t xml:space="preserve">Что это. HC.7 (разбор HC+GoB+MoH × Victorian Century, conflicts_hcgobmoh_vs_vc_report.md) нашёл 16 character_templates, которые оба блока переписывают независимо -- в основном американские генералы и адмиралы Hail, Columbia!, плюс один китаец (chi_daoguang_template, MoH).</t>
  </si>
  <si>
    <t xml:space="preserve">11 из 16 -- переиздание ванильного шаблона (common/character_templates/country_usa.txt), не выдумка с нуля; 5 -- собственные персонажи HC (historical_commanders_usa.txt), которых VC независимо завёл под тем же id.</t>
  </si>
  <si>
    <t xml:space="preserve">Главная находка этого прогона: у 7 из 11 ванильных ключей HC СОВПАДАЕТ с ванилью дословно -- HC переиздаёт запись ради другого поля (обычно commander_usage), а traits просто копирует не глядя. Там решать нечего: своего мнения у HC нет, стоит брать список VC.</t>
  </si>
  <si>
    <t xml:space="preserve">Показано столбцом «HC = ваниль?». Где «да» -- в столбце РЕШЕНИЕ уже стоит подсказка VC, менять не обязательно. Где «нет» (winfield_scott, grant, lincoln) -- HC реально переписал список, тут обе стороны что-то предлагают.</t>
  </si>
  <si>
    <t xml:space="preserve">chi_daoguang_template в эту таблицу НЕ включён -- MoH инжектит только on_created, traits не трогает вообще, VC побеждает без вопросов (см. отчёт, раздел «Не конфликт»).</t>
  </si>
  <si>
    <t xml:space="preserve">Куда писать. Лист «Трейты»: одна строка -- один персонаж. Столбцы E/F/G -- справочные (что предлагает каждая сторона), не трогать. Заполнять только ЖЁЛТЫЕ столбцы J (РЕШЕНИЕ) и, если выбрано «свой», K (свой список).</t>
  </si>
  <si>
    <t xml:space="preserve">РЕШЕНИЕ -- выпадающий список. Для 10 ключей с ванильным предком: VC / HC / ваниль / свой. Для 5 ключей без предка (ваниль отсутствовала изначально) вариант «ваниль» не предлагается: VC / HC / свой.</t>
  </si>
  <si>
    <t xml:space="preserve">«свой» значит: не то, что целиком предложил один автор, а собранный вручную список -- писать его через запятую в столбец K, ровно так, как traits записаны в игровом файле (trait_id, без кавычек).</t>
  </si>
  <si>
    <t xml:space="preserve">Столбец L считается сам (формула): подтягивает список из E/F/G по вашему выбору в J, либо K, если J = «свой». Ничего в L не трогать -- это то, что уйдёт в генератор компача.</t>
  </si>
  <si>
    <t xml:space="preserve">Столбцы H/I -- какие ещё под-блоки, кроме traits, несёт каждая версия (commander_usage, executive_usage, on_created...). Не решаются здесь -- это отдельный, гораздо более мелкий мердж (числа найма/веса), traits это не затрагивает.</t>
  </si>
  <si>
    <t xml:space="preserve">Что дальше. Когда все 15 строк заполнены -- этот файл читает будущий генератор компача (по образцу того, как regen_vc_tgr.py уже читает vc_tgr_ideology_grid.xlsx) и пишет zz_hcvc_character_templates.txt: REPLACE_OR_CREATE: тело-победитель (HC либо ваниль-как-у-HC) с traits, взятыми из столбца L.</t>
  </si>
  <si>
    <t xml:space="preserve">Собрано 26.08.2026 с распаковок: ваниль 1.13.11, Hail, Columbia! 8.6-Roosevelt, Mandate of Heaven 1.4.6.1, Victorian Century (версии не объявляет). Источник разбора -- _HC+GoB+MoH/hc+vc wip/conflicts_hcgobmoh_vs_vc_report.md, раздел про 16 character_templates.</t>
  </si>
  <si>
    <t xml:space="preserve">character_template</t>
  </si>
  <si>
    <t xml:space="preserve">тип</t>
  </si>
  <si>
    <t xml:space="preserve">HC = ваниль?</t>
  </si>
  <si>
    <t xml:space="preserve">файл HC</t>
  </si>
  <si>
    <t xml:space="preserve">файл VC</t>
  </si>
  <si>
    <t xml:space="preserve">ваниль traits</t>
  </si>
  <si>
    <t xml:space="preserve">HC traits</t>
  </si>
  <si>
    <t xml:space="preserve">VC traits</t>
  </si>
  <si>
    <t xml:space="preserve">доп. под-блоки HC</t>
  </si>
  <si>
    <t xml:space="preserve">доп. под-блоки VC</t>
  </si>
  <si>
    <t xml:space="preserve">РЕШЕНИЕ</t>
  </si>
  <si>
    <t xml:space="preserve">свой список (если РЕШЕНИЕ = свой)</t>
  </si>
  <si>
    <t xml:space="preserve">финальный список (авто)</t>
  </si>
  <si>
    <t xml:space="preserve">заметка</t>
  </si>
  <si>
    <t xml:space="preserve">USA_william_cramp</t>
  </si>
  <si>
    <t xml:space="preserve">ванильный</t>
  </si>
  <si>
    <t xml:space="preserve">да</t>
  </si>
  <si>
    <t xml:space="preserve">country_usa.txt</t>
  </si>
  <si>
    <t xml:space="preserve">joi_je_usa.txt</t>
  </si>
  <si>
    <t xml:space="preserve">ambitious, tactful, basic_entrepreneur</t>
  </si>
  <si>
    <t xml:space="preserve">executive_usage</t>
  </si>
  <si>
    <t xml:space="preserve">executive_usage, on_created</t>
  </si>
  <si>
    <t xml:space="preserve">VC</t>
  </si>
  <si>
    <t xml:space="preserve">HC дословно копирует ваниль -- своего мнения о трейтах у HC нет</t>
  </si>
  <si>
    <t xml:space="preserve">USA_winfield_scott</t>
  </si>
  <si>
    <t xml:space="preserve">нет</t>
  </si>
  <si>
    <t xml:space="preserve">joi_templates.txt</t>
  </si>
  <si>
    <t xml:space="preserve">traditionalist_commander, basic_diplomat, cautious</t>
  </si>
  <si>
    <t xml:space="preserve">traditionalist_commander, basic_diplomat, experienced_political_operator</t>
  </si>
  <si>
    <t xml:space="preserve">traditionalist_commander, basic_diplomat, meticulous, expert_offensive_planner</t>
  </si>
  <si>
    <t xml:space="preserve">—</t>
  </si>
  <si>
    <t xml:space="preserve">Оба реально разошлись с ванилью и друг с другом -- решать вручную Решение: VC -- meticulous + expert_offensive_planner точно описывают Скотта (муштра "Old Fuss and Feathers", кампания на Мехико); ванильный cautious противоречит offensive_planner по духу, поэтому не подмешан.</t>
  </si>
  <si>
    <t xml:space="preserve">usa_admiral_dewey</t>
  </si>
  <si>
    <t xml:space="preserve">joi_commander_templates.txt</t>
  </si>
  <si>
    <t xml:space="preserve">experienced_naval_commander, persistent, brave</t>
  </si>
  <si>
    <t xml:space="preserve">experienced_naval_commander, inspirational_orator, convoy_raider_commander</t>
  </si>
  <si>
    <t xml:space="preserve">commander_usage</t>
  </si>
  <si>
    <t xml:space="preserve">HC дословно копирует ваниль</t>
  </si>
  <si>
    <t xml:space="preserve">usa_admiral_perry</t>
  </si>
  <si>
    <t xml:space="preserve">innovative, dockyard_master, explorer</t>
  </si>
  <si>
    <t xml:space="preserve">expert_naval_commander, dockyard_master, innovative, explorer</t>
  </si>
  <si>
    <t xml:space="preserve">usa_general_grant</t>
  </si>
  <si>
    <t xml:space="preserve">experienced_offensive_planner, persistent, alcoholic</t>
  </si>
  <si>
    <t xml:space="preserve">expert_offensive_planner, persistent, honorable, innovative</t>
  </si>
  <si>
    <t xml:space="preserve">experienced_offensive_planner, persistent, alcoholic, direct</t>
  </si>
  <si>
    <t xml:space="preserve">HC явно смягчает Гранта (убрал alcoholic, добавил honorable), VC ближе к вании -- редакторский выбор Решение: VC -- alcoholic и direct достоверны и не смягчены (в отличие от HC); список и так совпадает с ванилью почти дословно, только добавляет direct.</t>
  </si>
  <si>
    <t xml:space="preserve">usa_general_jackson</t>
  </si>
  <si>
    <t xml:space="preserve">surveyor, stalwart_defender, brave</t>
  </si>
  <si>
    <t xml:space="preserve">experienced_offensive_planner, pillager, charismatic, tactful</t>
  </si>
  <si>
    <t xml:space="preserve">commander_usage, on_created</t>
  </si>
  <si>
    <t xml:space="preserve">HC дословно копирует ваниль. У HC есть on_created (не про traits, не теряется)</t>
  </si>
  <si>
    <t xml:space="preserve">usa_general_jesup</t>
  </si>
  <si>
    <t xml:space="preserve">meticulous</t>
  </si>
  <si>
    <t xml:space="preserve">meticulous, cruel, experienced_offensive_planner, resupply_commander</t>
  </si>
  <si>
    <t xml:space="preserve">usa_general_longstreet</t>
  </si>
  <si>
    <t xml:space="preserve">experienced_offensive_planner, expert_defensive_strategist, brave</t>
  </si>
  <si>
    <t xml:space="preserve">experienced_defensive_strategist, pillager, charismatic, resupply_commander</t>
  </si>
  <si>
    <t xml:space="preserve">usa_general_sherman</t>
  </si>
  <si>
    <t xml:space="preserve">expert_offensive_planner, resupply_commander, pillager</t>
  </si>
  <si>
    <t xml:space="preserve">expert_offensive_planner, resupply_commander, pillager, direct</t>
  </si>
  <si>
    <t xml:space="preserve">HC дословно копирует ваниль. Список VC = список HC + один трейт (direct)</t>
  </si>
  <si>
    <t xml:space="preserve">usa_lincoln_character_template</t>
  </si>
  <si>
    <t xml:space="preserve">experienced_political_operator, inspirational_orator, tactful</t>
  </si>
  <si>
    <t xml:space="preserve">charismatic, tactful, firebrand, experienced_political_operator</t>
  </si>
  <si>
    <t xml:space="preserve">expert_political_operator, experienced_diplomat, inspirational_orator, persistent</t>
  </si>
  <si>
    <t xml:space="preserve">interest_group_leader_usage, on_created</t>
  </si>
  <si>
    <t xml:space="preserve">Оба реально разошлись с ванилью и друг с другом -- флагманский персонаж, решать вручную Решение: VC -- inspirational_orator (важнейшая черта Линкольна) сохранён и усилен до expert_political_operator + experienced_diplomat + persistent; HC-шные charismatic/firebrand хуже описывают его сдержанный, компромиссный стиль.</t>
  </si>
  <si>
    <t xml:space="preserve">usa_admiral_porter</t>
  </si>
  <si>
    <t xml:space="preserve">без предка</t>
  </si>
  <si>
    <t xml:space="preserve">н/д</t>
  </si>
  <si>
    <t xml:space="preserve">historical_commanders_usa.txt</t>
  </si>
  <si>
    <t xml:space="preserve">(traits отсутствует вовсе)</t>
  </si>
  <si>
    <t xml:space="preserve">experienced_naval_commander</t>
  </si>
  <si>
    <t xml:space="preserve">traits, commander_usage</t>
  </si>
  <si>
    <t xml:space="preserve">У HC нет под-блока traits для этого персонажа -- ставить VC ничего не отнимает</t>
  </si>
  <si>
    <t xml:space="preserve">usa_admiral_sampson</t>
  </si>
  <si>
    <t xml:space="preserve">experienced_naval_commander, meticulous</t>
  </si>
  <si>
    <t xml:space="preserve">usa_admiral_sigsbee</t>
  </si>
  <si>
    <t xml:space="preserve">usa_general_bell</t>
  </si>
  <si>
    <t xml:space="preserve">bigoted, war_criminal, basic_colonial_administrator</t>
  </si>
  <si>
    <t xml:space="preserve">experienced_defensive_strategist, inspirational_orator, meticulous</t>
  </si>
  <si>
    <t xml:space="preserve">HC</t>
  </si>
  <si>
    <t xml:space="preserve">HC's набор -- осознанная тёмная характеристика (резня на Филиппинах), не случайность. Решать вручную, не по умолчанию Решение: HC -- bigoted/war_criminal отражают документированную роль Белла в реконцентрации на Батангасе (Филиппино-американская война); VC-шный inspirational_orator биографией не подтверждается и выглядит generic-заглушкой.</t>
  </si>
  <si>
    <t xml:space="preserve">usa_general_miles</t>
  </si>
  <si>
    <t xml:space="preserve">ambitious, basic_offensive_planner, surveyor</t>
  </si>
  <si>
    <t xml:space="preserve">experienced_offensive_planner, brave, popular_commander</t>
  </si>
  <si>
    <t xml:space="preserve">свой</t>
  </si>
  <si>
    <t xml:space="preserve">ambitious, experienced_offensive_planner, brave, popular_commander</t>
  </si>
  <si>
    <t xml:space="preserve">Оба -- полноценные независимые версии, ни один явно не вании -- решать вручную Решение: свой -- ambitious (визитная черта Майлза, общеизвестная амбициозность/самопиар) от HC + experienced_offensive_planner, brave, popular_commander (Медаль Почёта, реальная популярность в войсках) от VC; HC-шный surveyor и basic_offensive_planner слабо подтверждены биографией.</t>
  </si>
  <si>
    <t xml:space="preserve">Столбцы E/F/G и I/J -- справочные, не трогать. Столбец K -- решение (выпадающий список). Столбец L -- заполнять только если K = «свой». Столбец M считается сам.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</si>
</sst>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9" customFormat="false" ht="15" hidden="false" customHeight="false" outlineLevel="0" collapsed="false">
      <c r="A9" s="2" t="s">
        <v>5</v>
      </c>
    </row>
    <row r="11" customFormat="false" ht="15" hidden="false" customHeight="false" outlineLevel="0" collapsed="false">
      <c r="A11" s="3" t="s">
        <v>6</v>
      </c>
    </row>
    <row r="12" customFormat="false" ht="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2" t="s">
        <v>8</v>
      </c>
    </row>
    <row r="15" customFormat="false" ht="15" hidden="false" customHeight="false" outlineLevel="0" collapsed="false">
      <c r="A15" s="2" t="s">
        <v>9</v>
      </c>
    </row>
    <row r="17" customFormat="false" ht="15" hidden="false" customHeight="false" outlineLevel="0" collapsed="false">
      <c r="A17" s="2" t="s">
        <v>10</v>
      </c>
    </row>
    <row r="19" customFormat="false" ht="15" hidden="false" customHeight="false" outlineLevel="0" collapsed="false">
      <c r="A19" s="2" t="s">
        <v>11</v>
      </c>
    </row>
    <row r="21" customFormat="false" ht="15" hidden="false" customHeight="false" outlineLevel="0" collapsed="false">
      <c r="A21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8" min="6" style="0" width="34"/>
    <col collapsed="false" customWidth="true" hidden="false" outlineLevel="0" max="10" min="9" style="0" width="20"/>
    <col collapsed="false" customWidth="true" hidden="false" outlineLevel="0" max="11" min="11" style="0" width="11"/>
    <col collapsed="false" customWidth="true" hidden="false" outlineLevel="0" max="12" min="12" style="0" width="30"/>
    <col collapsed="false" customWidth="true" hidden="false" outlineLevel="0" max="13" min="13" style="0" width="34"/>
    <col collapsed="false" customWidth="true" hidden="false" outlineLevel="0" max="14" min="14" style="0" width="48"/>
  </cols>
  <sheetData>
    <row r="1" customFormat="false" ht="31.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</row>
    <row r="2" customFormat="false" ht="28.35" hidden="false" customHeight="false" outlineLevel="0" collapsed="false">
      <c r="A2" s="6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32</v>
      </c>
      <c r="H2" s="7" t="s">
        <v>32</v>
      </c>
      <c r="I2" s="7" t="s">
        <v>33</v>
      </c>
      <c r="J2" s="7" t="s">
        <v>34</v>
      </c>
      <c r="K2" s="8" t="s">
        <v>35</v>
      </c>
      <c r="L2" s="9"/>
      <c r="M2" s="10" t="str">
        <f aca="false">IF(K2="свой",L2,IF(K2="VC",H2,IF(K2="HC",G2,IF(K2="ваниль",F2,""))))</f>
        <v>ambitious, tactful, basic_entrepreneur</v>
      </c>
      <c r="N2" s="7" t="s">
        <v>36</v>
      </c>
    </row>
    <row r="3" customFormat="false" ht="82.05" hidden="false" customHeight="false" outlineLevel="0" collapsed="false">
      <c r="A3" s="6" t="s">
        <v>37</v>
      </c>
      <c r="B3" s="7" t="s">
        <v>28</v>
      </c>
      <c r="C3" s="7" t="s">
        <v>38</v>
      </c>
      <c r="D3" s="7" t="s">
        <v>30</v>
      </c>
      <c r="E3" s="7" t="s">
        <v>39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43</v>
      </c>
      <c r="K3" s="8" t="s">
        <v>35</v>
      </c>
      <c r="L3" s="9"/>
      <c r="M3" s="10" t="str">
        <f aca="false">IF(K3="свой",L3,IF(K3="VC",H3,IF(K3="HC",G3,IF(K3="ваниль",F3,""))))</f>
        <v>traditionalist_commander, basic_diplomat, meticulous, expert_offensive_planner</v>
      </c>
      <c r="N3" s="7" t="s">
        <v>44</v>
      </c>
    </row>
    <row r="4" customFormat="false" ht="41.75" hidden="false" customHeight="false" outlineLevel="0" collapsed="false">
      <c r="A4" s="6" t="s">
        <v>45</v>
      </c>
      <c r="B4" s="7" t="s">
        <v>28</v>
      </c>
      <c r="C4" s="7" t="s">
        <v>29</v>
      </c>
      <c r="D4" s="7" t="s">
        <v>30</v>
      </c>
      <c r="E4" s="7" t="s">
        <v>46</v>
      </c>
      <c r="F4" s="7" t="s">
        <v>47</v>
      </c>
      <c r="G4" s="7" t="s">
        <v>47</v>
      </c>
      <c r="H4" s="7" t="s">
        <v>48</v>
      </c>
      <c r="I4" s="7" t="s">
        <v>49</v>
      </c>
      <c r="J4" s="7" t="s">
        <v>49</v>
      </c>
      <c r="K4" s="8" t="s">
        <v>35</v>
      </c>
      <c r="L4" s="9"/>
      <c r="M4" s="10" t="str">
        <f aca="false">IF(K4="свой",L4,IF(K4="VC",H4,IF(K4="HC",G4,IF(K4="ваниль",F4,""))))</f>
        <v>experienced_naval_commander, inspirational_orator, convoy_raider_commander</v>
      </c>
      <c r="N4" s="7" t="s">
        <v>50</v>
      </c>
    </row>
    <row r="5" customFormat="false" ht="28.35" hidden="false" customHeight="false" outlineLevel="0" collapsed="false">
      <c r="A5" s="6" t="s">
        <v>51</v>
      </c>
      <c r="B5" s="7" t="s">
        <v>28</v>
      </c>
      <c r="C5" s="7" t="s">
        <v>29</v>
      </c>
      <c r="D5" s="7" t="s">
        <v>30</v>
      </c>
      <c r="E5" s="7" t="s">
        <v>46</v>
      </c>
      <c r="F5" s="7" t="s">
        <v>52</v>
      </c>
      <c r="G5" s="7" t="s">
        <v>52</v>
      </c>
      <c r="H5" s="7" t="s">
        <v>53</v>
      </c>
      <c r="I5" s="7" t="s">
        <v>49</v>
      </c>
      <c r="J5" s="7" t="s">
        <v>49</v>
      </c>
      <c r="K5" s="8" t="s">
        <v>35</v>
      </c>
      <c r="L5" s="9"/>
      <c r="M5" s="10" t="str">
        <f aca="false">IF(K5="свой",L5,IF(K5="VC",H5,IF(K5="HC",G5,IF(K5="ваниль",F5,""))))</f>
        <v>expert_naval_commander, dockyard_master, innovative, explorer</v>
      </c>
      <c r="N5" s="7" t="s">
        <v>50</v>
      </c>
    </row>
    <row r="6" customFormat="false" ht="68.65" hidden="false" customHeight="false" outlineLevel="0" collapsed="false">
      <c r="A6" s="6" t="s">
        <v>54</v>
      </c>
      <c r="B6" s="7" t="s">
        <v>28</v>
      </c>
      <c r="C6" s="7" t="s">
        <v>38</v>
      </c>
      <c r="D6" s="7" t="s">
        <v>30</v>
      </c>
      <c r="E6" s="7" t="s">
        <v>46</v>
      </c>
      <c r="F6" s="7" t="s">
        <v>55</v>
      </c>
      <c r="G6" s="7" t="s">
        <v>56</v>
      </c>
      <c r="H6" s="7" t="s">
        <v>57</v>
      </c>
      <c r="I6" s="7" t="s">
        <v>49</v>
      </c>
      <c r="J6" s="7" t="s">
        <v>49</v>
      </c>
      <c r="K6" s="8" t="s">
        <v>35</v>
      </c>
      <c r="L6" s="9"/>
      <c r="M6" s="10" t="str">
        <f aca="false">IF(K6="свой",L6,IF(K6="VC",H6,IF(K6="HC",G6,IF(K6="ваниль",F6,""))))</f>
        <v>experienced_offensive_planner, persistent, alcoholic, direct</v>
      </c>
      <c r="N6" s="7" t="s">
        <v>58</v>
      </c>
    </row>
    <row r="7" customFormat="false" ht="28.35" hidden="false" customHeight="false" outlineLevel="0" collapsed="false">
      <c r="A7" s="6" t="s">
        <v>59</v>
      </c>
      <c r="B7" s="7" t="s">
        <v>28</v>
      </c>
      <c r="C7" s="7" t="s">
        <v>29</v>
      </c>
      <c r="D7" s="7" t="s">
        <v>30</v>
      </c>
      <c r="E7" s="7" t="s">
        <v>46</v>
      </c>
      <c r="F7" s="7" t="s">
        <v>60</v>
      </c>
      <c r="G7" s="7" t="s">
        <v>60</v>
      </c>
      <c r="H7" s="7" t="s">
        <v>61</v>
      </c>
      <c r="I7" s="7" t="s">
        <v>62</v>
      </c>
      <c r="J7" s="7" t="s">
        <v>49</v>
      </c>
      <c r="K7" s="8" t="s">
        <v>35</v>
      </c>
      <c r="L7" s="9"/>
      <c r="M7" s="10" t="str">
        <f aca="false">IF(K7="свой",L7,IF(K7="VC",H7,IF(K7="HC",G7,IF(K7="ваниль",F7,""))))</f>
        <v>experienced_offensive_planner, pillager, charismatic, tactful</v>
      </c>
      <c r="N7" s="7" t="s">
        <v>63</v>
      </c>
    </row>
    <row r="8" customFormat="false" ht="41.75" hidden="false" customHeight="false" outlineLevel="0" collapsed="false">
      <c r="A8" s="6" t="s">
        <v>64</v>
      </c>
      <c r="B8" s="7" t="s">
        <v>28</v>
      </c>
      <c r="C8" s="7" t="s">
        <v>29</v>
      </c>
      <c r="D8" s="7" t="s">
        <v>30</v>
      </c>
      <c r="E8" s="7" t="s">
        <v>46</v>
      </c>
      <c r="F8" s="7" t="s">
        <v>65</v>
      </c>
      <c r="G8" s="7" t="s">
        <v>65</v>
      </c>
      <c r="H8" s="7" t="s">
        <v>66</v>
      </c>
      <c r="I8" s="7" t="s">
        <v>49</v>
      </c>
      <c r="J8" s="7" t="s">
        <v>49</v>
      </c>
      <c r="K8" s="8" t="s">
        <v>35</v>
      </c>
      <c r="L8" s="9"/>
      <c r="M8" s="10" t="str">
        <f aca="false">IF(K8="свой",L8,IF(K8="VC",H8,IF(K8="HC",G8,IF(K8="ваниль",F8,""))))</f>
        <v>meticulous, cruel, experienced_offensive_planner, resupply_commander</v>
      </c>
      <c r="N8" s="7" t="s">
        <v>50</v>
      </c>
    </row>
    <row r="9" customFormat="false" ht="41.75" hidden="false" customHeight="false" outlineLevel="0" collapsed="false">
      <c r="A9" s="6" t="s">
        <v>67</v>
      </c>
      <c r="B9" s="7" t="s">
        <v>28</v>
      </c>
      <c r="C9" s="7" t="s">
        <v>29</v>
      </c>
      <c r="D9" s="7" t="s">
        <v>30</v>
      </c>
      <c r="E9" s="7" t="s">
        <v>46</v>
      </c>
      <c r="F9" s="7" t="s">
        <v>68</v>
      </c>
      <c r="G9" s="7" t="s">
        <v>68</v>
      </c>
      <c r="H9" s="7" t="s">
        <v>69</v>
      </c>
      <c r="I9" s="7" t="s">
        <v>62</v>
      </c>
      <c r="J9" s="7" t="s">
        <v>49</v>
      </c>
      <c r="K9" s="8" t="s">
        <v>35</v>
      </c>
      <c r="L9" s="9"/>
      <c r="M9" s="10" t="str">
        <f aca="false">IF(K9="свой",L9,IF(K9="VC",H9,IF(K9="HC",G9,IF(K9="ваниль",F9,""))))</f>
        <v>experienced_defensive_strategist, pillager, charismatic, resupply_commander</v>
      </c>
      <c r="N9" s="7" t="s">
        <v>63</v>
      </c>
    </row>
    <row r="10" customFormat="false" ht="28.35" hidden="false" customHeight="false" outlineLevel="0" collapsed="false">
      <c r="A10" s="6" t="s">
        <v>70</v>
      </c>
      <c r="B10" s="7" t="s">
        <v>28</v>
      </c>
      <c r="C10" s="7" t="s">
        <v>29</v>
      </c>
      <c r="D10" s="7" t="s">
        <v>30</v>
      </c>
      <c r="E10" s="7" t="s">
        <v>46</v>
      </c>
      <c r="F10" s="7" t="s">
        <v>71</v>
      </c>
      <c r="G10" s="7" t="s">
        <v>71</v>
      </c>
      <c r="H10" s="7" t="s">
        <v>72</v>
      </c>
      <c r="I10" s="7" t="s">
        <v>49</v>
      </c>
      <c r="J10" s="7" t="s">
        <v>49</v>
      </c>
      <c r="K10" s="8" t="s">
        <v>35</v>
      </c>
      <c r="L10" s="9"/>
      <c r="M10" s="10" t="str">
        <f aca="false">IF(K10="свой",L10,IF(K10="VC",H10,IF(K10="HC",G10,IF(K10="ваниль",F10,""))))</f>
        <v>expert_offensive_planner, resupply_commander, pillager, direct</v>
      </c>
      <c r="N10" s="7" t="s">
        <v>73</v>
      </c>
    </row>
    <row r="11" customFormat="false" ht="95.5" hidden="false" customHeight="false" outlineLevel="0" collapsed="false">
      <c r="A11" s="6" t="s">
        <v>74</v>
      </c>
      <c r="B11" s="7" t="s">
        <v>28</v>
      </c>
      <c r="C11" s="7" t="s">
        <v>38</v>
      </c>
      <c r="D11" s="7" t="s">
        <v>30</v>
      </c>
      <c r="E11" s="7" t="s">
        <v>39</v>
      </c>
      <c r="F11" s="7" t="s">
        <v>75</v>
      </c>
      <c r="G11" s="7" t="s">
        <v>76</v>
      </c>
      <c r="H11" s="7" t="s">
        <v>77</v>
      </c>
      <c r="I11" s="7" t="s">
        <v>78</v>
      </c>
      <c r="J11" s="7" t="s">
        <v>78</v>
      </c>
      <c r="K11" s="8" t="s">
        <v>35</v>
      </c>
      <c r="L11" s="9"/>
      <c r="M11" s="10" t="str">
        <f aca="false">IF(K11="свой",L11,IF(K11="VC",H11,IF(K11="HC",G11,IF(K11="ваниль",F11,""))))</f>
        <v>expert_political_operator, experienced_diplomat, inspirational_orator, persistent</v>
      </c>
      <c r="N11" s="7" t="s">
        <v>79</v>
      </c>
    </row>
    <row r="12" customFormat="false" ht="28.35" hidden="false" customHeight="false" outlineLevel="0" collapsed="false">
      <c r="A12" s="6" t="s">
        <v>80</v>
      </c>
      <c r="B12" s="7" t="s">
        <v>81</v>
      </c>
      <c r="C12" s="7" t="s">
        <v>82</v>
      </c>
      <c r="D12" s="7" t="s">
        <v>83</v>
      </c>
      <c r="E12" s="7" t="s">
        <v>46</v>
      </c>
      <c r="F12" s="7" t="s">
        <v>43</v>
      </c>
      <c r="G12" s="7" t="s">
        <v>84</v>
      </c>
      <c r="H12" s="7" t="s">
        <v>85</v>
      </c>
      <c r="I12" s="7" t="s">
        <v>49</v>
      </c>
      <c r="J12" s="7" t="s">
        <v>86</v>
      </c>
      <c r="K12" s="8" t="s">
        <v>35</v>
      </c>
      <c r="L12" s="9"/>
      <c r="M12" s="10" t="str">
        <f aca="false">IF(K12="свой",L12,IF(K12="VC",H12,IF(K12="HC",G12,IF(K12="ваниль",F12,""))))</f>
        <v>experienced_naval_commander</v>
      </c>
      <c r="N12" s="7" t="s">
        <v>87</v>
      </c>
    </row>
    <row r="13" customFormat="false" ht="28.35" hidden="false" customHeight="false" outlineLevel="0" collapsed="false">
      <c r="A13" s="6" t="s">
        <v>88</v>
      </c>
      <c r="B13" s="7" t="s">
        <v>81</v>
      </c>
      <c r="C13" s="7" t="s">
        <v>82</v>
      </c>
      <c r="D13" s="7" t="s">
        <v>83</v>
      </c>
      <c r="E13" s="7" t="s">
        <v>46</v>
      </c>
      <c r="F13" s="7" t="s">
        <v>43</v>
      </c>
      <c r="G13" s="7" t="s">
        <v>84</v>
      </c>
      <c r="H13" s="7" t="s">
        <v>89</v>
      </c>
      <c r="I13" s="7" t="s">
        <v>49</v>
      </c>
      <c r="J13" s="7" t="s">
        <v>86</v>
      </c>
      <c r="K13" s="8" t="s">
        <v>35</v>
      </c>
      <c r="L13" s="9"/>
      <c r="M13" s="10" t="str">
        <f aca="false">IF(K13="свой",L13,IF(K13="VC",H13,IF(K13="HC",G13,IF(K13="ваниль",F13,""))))</f>
        <v>experienced_naval_commander, meticulous</v>
      </c>
      <c r="N13" s="7" t="s">
        <v>87</v>
      </c>
    </row>
    <row r="14" customFormat="false" ht="28.35" hidden="false" customHeight="false" outlineLevel="0" collapsed="false">
      <c r="A14" s="6" t="s">
        <v>90</v>
      </c>
      <c r="B14" s="7" t="s">
        <v>81</v>
      </c>
      <c r="C14" s="7" t="s">
        <v>82</v>
      </c>
      <c r="D14" s="7" t="s">
        <v>83</v>
      </c>
      <c r="E14" s="7" t="s">
        <v>46</v>
      </c>
      <c r="F14" s="7" t="s">
        <v>43</v>
      </c>
      <c r="G14" s="7" t="s">
        <v>84</v>
      </c>
      <c r="H14" s="7" t="s">
        <v>85</v>
      </c>
      <c r="I14" s="7" t="s">
        <v>49</v>
      </c>
      <c r="J14" s="7" t="s">
        <v>86</v>
      </c>
      <c r="K14" s="8" t="s">
        <v>35</v>
      </c>
      <c r="L14" s="9"/>
      <c r="M14" s="10" t="str">
        <f aca="false">IF(K14="свой",L14,IF(K14="VC",H14,IF(K14="HC",G14,IF(K14="ваниль",F14,""))))</f>
        <v>experienced_naval_commander</v>
      </c>
      <c r="N14" s="7" t="s">
        <v>87</v>
      </c>
    </row>
    <row r="15" customFormat="false" ht="108.95" hidden="false" customHeight="false" outlineLevel="0" collapsed="false">
      <c r="A15" s="6" t="s">
        <v>91</v>
      </c>
      <c r="B15" s="7" t="s">
        <v>81</v>
      </c>
      <c r="C15" s="7" t="s">
        <v>82</v>
      </c>
      <c r="D15" s="7" t="s">
        <v>83</v>
      </c>
      <c r="E15" s="7" t="s">
        <v>46</v>
      </c>
      <c r="F15" s="7" t="s">
        <v>43</v>
      </c>
      <c r="G15" s="7" t="s">
        <v>92</v>
      </c>
      <c r="H15" s="7" t="s">
        <v>93</v>
      </c>
      <c r="I15" s="7" t="s">
        <v>49</v>
      </c>
      <c r="J15" s="7" t="s">
        <v>49</v>
      </c>
      <c r="K15" s="8" t="s">
        <v>94</v>
      </c>
      <c r="L15" s="9"/>
      <c r="M15" s="10" t="str">
        <f aca="false">IF(K15="свой",L15,IF(K15="VC",H15,IF(K15="HC",G15,IF(K15="ваниль",F15,""))))</f>
        <v>bigoted, war_criminal, basic_colonial_administrator</v>
      </c>
      <c r="N15" s="7" t="s">
        <v>95</v>
      </c>
    </row>
    <row r="16" customFormat="false" ht="122.35" hidden="false" customHeight="false" outlineLevel="0" collapsed="false">
      <c r="A16" s="6" t="s">
        <v>96</v>
      </c>
      <c r="B16" s="7" t="s">
        <v>81</v>
      </c>
      <c r="C16" s="7" t="s">
        <v>82</v>
      </c>
      <c r="D16" s="7" t="s">
        <v>83</v>
      </c>
      <c r="E16" s="7" t="s">
        <v>46</v>
      </c>
      <c r="F16" s="7" t="s">
        <v>43</v>
      </c>
      <c r="G16" s="7" t="s">
        <v>97</v>
      </c>
      <c r="H16" s="7" t="s">
        <v>98</v>
      </c>
      <c r="I16" s="7" t="s">
        <v>49</v>
      </c>
      <c r="J16" s="7" t="s">
        <v>49</v>
      </c>
      <c r="K16" s="8" t="s">
        <v>99</v>
      </c>
      <c r="L16" s="9" t="s">
        <v>100</v>
      </c>
      <c r="M16" s="10" t="str">
        <f aca="false">IF(K16="свой",L16,IF(K16="VC",H16,IF(K16="HC",G16,IF(K16="ваниль",F16,""))))</f>
        <v>ambitious, experienced_offensive_planner, brave, popular_commander</v>
      </c>
      <c r="N16" s="7" t="s">
        <v>101</v>
      </c>
    </row>
    <row r="18" customFormat="false" ht="15" hidden="false" customHeight="true" outlineLevel="0" collapsed="false">
      <c r="A18" s="11" t="s">
        <v>102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</sheetData>
  <mergeCells count="1">
    <mergeCell ref="A18:N18"/>
  </mergeCells>
  <dataValidations count="2">
    <dataValidation allowBlank="true" error="Выберите одно из: VC, HC, ваниль, свой." errorStyle="stop" errorTitle="Недопустимое решение" operator="between" showDropDown="false" showErrorMessage="true" showInputMessage="false" sqref="K2:K11" type="list">
      <formula1>"VC,HC,ваниль,свой"</formula1>
      <formula2>0</formula2>
    </dataValidation>
    <dataValidation allowBlank="true" error="У этого ключа нет ванильного предка: выберите VC, HC или свой." errorStyle="stop" errorTitle="Недопустимое решение" operator="between" showDropDown="false" showErrorMessage="true" showInputMessage="false" sqref="K12:K16" type="list">
      <formula1>"VC,HC,свой"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2026-08-26T09:45:13Z</dcterms:created>
  <dc:creator>openpyxl</dc:creator>
  <dc:description/>
  <dc:language>en-US</dc:language>
  <cp:lastModifiedBy/>
  <dcterms:modified xsi:type="dcterms:W3CDTF">2026-08-26T09:54:12Z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